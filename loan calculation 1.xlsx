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ldOseiFrimpongKw\Desktop\"/>
    </mc:Choice>
  </mc:AlternateContent>
  <xr:revisionPtr revIDLastSave="0" documentId="8_{D27B6701-D4F0-4D70-8865-BB326F964E9A}" xr6:coauthVersionLast="47" xr6:coauthVersionMax="47" xr10:uidLastSave="{00000000-0000-0000-0000-000000000000}"/>
  <bookViews>
    <workbookView xWindow="-108" yWindow="-108" windowWidth="23256" windowHeight="12456" xr2:uid="{02F3F295-088F-44D0-84D4-B23846DCF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B13" i="1"/>
  <c r="B14" i="1"/>
  <c r="E14" i="1" s="1"/>
  <c r="B8" i="1"/>
  <c r="B7" i="1"/>
  <c r="E15" i="1" l="1"/>
  <c r="B15" i="1"/>
  <c r="B16" i="1" s="1"/>
  <c r="B17" i="1" s="1"/>
  <c r="B18" i="1" s="1"/>
  <c r="B9" i="1"/>
  <c r="B10" i="1" l="1"/>
  <c r="B24" i="1"/>
</calcChain>
</file>

<file path=xl/sharedStrings.xml><?xml version="1.0" encoding="utf-8"?>
<sst xmlns="http://schemas.openxmlformats.org/spreadsheetml/2006/main" count="33" uniqueCount="31">
  <si>
    <t>Premium Net</t>
  </si>
  <si>
    <t>Sticker Fee</t>
  </si>
  <si>
    <t>Processing Fee</t>
  </si>
  <si>
    <t xml:space="preserve">Value </t>
  </si>
  <si>
    <t>Description</t>
  </si>
  <si>
    <t>Premium Amount</t>
  </si>
  <si>
    <t>No of Installments</t>
  </si>
  <si>
    <t xml:space="preserve">1st Installment </t>
  </si>
  <si>
    <t>Initial Processing Fee</t>
  </si>
  <si>
    <t>Minimum Deposit (Safe Net)</t>
  </si>
  <si>
    <t>Initial Loan Amount</t>
  </si>
  <si>
    <t xml:space="preserve">Processing Fee is not Part of the Loan Amount and Premium </t>
  </si>
  <si>
    <t>Actual Processing Fee</t>
  </si>
  <si>
    <t xml:space="preserve">Actual Initial Deposit </t>
  </si>
  <si>
    <t>Actual Loan Amount</t>
  </si>
  <si>
    <t>Interest per month</t>
  </si>
  <si>
    <t xml:space="preserve">Interest Value </t>
  </si>
  <si>
    <t>Total Repayment</t>
  </si>
  <si>
    <t>Regular Installment</t>
  </si>
  <si>
    <t>CONSTRAINT</t>
  </si>
  <si>
    <t>Actual Initial Deposit Cannot be less than minium safe net</t>
  </si>
  <si>
    <t>INTEREST RATES</t>
  </si>
  <si>
    <t>Rate</t>
  </si>
  <si>
    <t>&gt;</t>
  </si>
  <si>
    <t>&lt;=</t>
  </si>
  <si>
    <t>Interest over installments</t>
  </si>
  <si>
    <t>INTEREST RATE CONVERSION FOR DAYS &amp; WEEKS</t>
  </si>
  <si>
    <t>DAYS</t>
  </si>
  <si>
    <t>WEEKS</t>
  </si>
  <si>
    <t>Loan Amount (A13)</t>
  </si>
  <si>
    <t xml:space="preserve">PREMIUM FINANCING CALCULATIONS BREAKDOWN FOR A MONTHLY PERIOD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</si>
</sst>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GH₵&quot;* #,##0.00_-;\-&quot;GH₵&quot;* #,##0.00_-;_-&quot;GH₵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44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0" borderId="1" xfId="0" applyFont="1" applyBorder="1"/>
    <xf numFmtId="44" fontId="0" fillId="0" borderId="1" xfId="0" applyNumberFormat="1" applyBorder="1" applyAlignment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3420-3E72-4A3C-8208-E50EFF843D4B}">
  <dimension ref="A1:F24"/>
  <sheetViews>
    <sheetView tabSelected="1" workbookViewId="0">
      <selection activeCell="A24" sqref="A24"/>
    </sheetView>
  </sheetViews>
  <sheetFormatPr defaultRowHeight="14.4" x14ac:dyDescent="0.3"/>
  <cols>
    <col min="1" max="1" width="24.21875" customWidth="1"/>
    <col min="2" max="2" width="27.77734375" customWidth="1"/>
    <col min="3" max="3" width="66.21875" customWidth="1"/>
    <col min="4" max="5" width="15.21875" customWidth="1"/>
    <col min="6" max="6" width="13" customWidth="1"/>
  </cols>
  <sheetData>
    <row r="1" spans="1:6" x14ac:dyDescent="0.3">
      <c r="A1" s="23" t="s">
        <v>30</v>
      </c>
      <c r="B1" s="23"/>
      <c r="C1" s="23"/>
    </row>
    <row r="2" spans="1:6" x14ac:dyDescent="0.3">
      <c r="A2" s="1"/>
      <c r="B2" s="20" t="s">
        <v>3</v>
      </c>
      <c r="C2" s="20" t="s">
        <v>4</v>
      </c>
      <c r="D2" s="7" t="s">
        <v>21</v>
      </c>
      <c r="E2" s="7"/>
      <c r="F2" s="7"/>
    </row>
    <row r="3" spans="1:6" ht="28.8" x14ac:dyDescent="0.3">
      <c r="A3" s="20" t="s">
        <v>0</v>
      </c>
      <c r="B3" s="1">
        <v>530</v>
      </c>
      <c r="C3" s="1" t="s">
        <v>5</v>
      </c>
      <c r="D3" s="11" t="s">
        <v>29</v>
      </c>
      <c r="E3" s="5"/>
      <c r="F3" s="5" t="s">
        <v>22</v>
      </c>
    </row>
    <row r="4" spans="1:6" x14ac:dyDescent="0.3">
      <c r="A4" s="20" t="s">
        <v>1</v>
      </c>
      <c r="B4" s="14">
        <v>52</v>
      </c>
      <c r="C4" s="1"/>
      <c r="D4" s="12">
        <v>5000</v>
      </c>
      <c r="E4" s="8" t="s">
        <v>23</v>
      </c>
      <c r="F4" s="6">
        <v>2.5000000000000001E-2</v>
      </c>
    </row>
    <row r="5" spans="1:6" x14ac:dyDescent="0.3">
      <c r="A5" s="20" t="s">
        <v>2</v>
      </c>
      <c r="B5" s="15">
        <v>0.02</v>
      </c>
      <c r="C5" s="1"/>
      <c r="D5" s="12">
        <v>2000</v>
      </c>
      <c r="E5" s="8" t="s">
        <v>23</v>
      </c>
      <c r="F5" s="6">
        <v>0.03</v>
      </c>
    </row>
    <row r="6" spans="1:6" x14ac:dyDescent="0.3">
      <c r="A6" s="20" t="s">
        <v>6</v>
      </c>
      <c r="B6" s="1">
        <v>7</v>
      </c>
      <c r="C6" s="1"/>
      <c r="D6" s="12">
        <v>530</v>
      </c>
      <c r="E6" s="8" t="s">
        <v>23</v>
      </c>
      <c r="F6" s="6">
        <v>3.5000000000000003E-2</v>
      </c>
    </row>
    <row r="7" spans="1:6" x14ac:dyDescent="0.3">
      <c r="A7" s="20" t="s">
        <v>7</v>
      </c>
      <c r="B7" s="14">
        <f>B3/B6</f>
        <v>75.714285714285708</v>
      </c>
      <c r="C7" s="1"/>
      <c r="D7" s="12">
        <v>530</v>
      </c>
      <c r="E7" s="8" t="s">
        <v>24</v>
      </c>
      <c r="F7" s="6">
        <v>0.04</v>
      </c>
    </row>
    <row r="8" spans="1:6" x14ac:dyDescent="0.3">
      <c r="A8" s="20" t="s">
        <v>8</v>
      </c>
      <c r="B8" s="14">
        <f>B5*B3</f>
        <v>10.6</v>
      </c>
      <c r="C8" s="1"/>
    </row>
    <row r="9" spans="1:6" x14ac:dyDescent="0.3">
      <c r="A9" s="20" t="s">
        <v>9</v>
      </c>
      <c r="B9" s="14">
        <f>B7+B4+B8</f>
        <v>138.31428571428572</v>
      </c>
      <c r="C9" s="1"/>
    </row>
    <row r="10" spans="1:6" x14ac:dyDescent="0.3">
      <c r="A10" s="20" t="s">
        <v>10</v>
      </c>
      <c r="B10" s="14">
        <f>B3-B9+B8</f>
        <v>402.28571428571433</v>
      </c>
      <c r="C10" s="1" t="s">
        <v>11</v>
      </c>
    </row>
    <row r="11" spans="1:6" x14ac:dyDescent="0.3">
      <c r="A11" s="20" t="s">
        <v>12</v>
      </c>
      <c r="B11" s="14">
        <f>B13*B5</f>
        <v>7.6000000000000005</v>
      </c>
      <c r="C11" s="1"/>
    </row>
    <row r="12" spans="1:6" x14ac:dyDescent="0.3">
      <c r="A12" s="20" t="s">
        <v>13</v>
      </c>
      <c r="B12" s="14">
        <v>150</v>
      </c>
      <c r="C12" s="1"/>
    </row>
    <row r="13" spans="1:6" x14ac:dyDescent="0.3">
      <c r="A13" s="20" t="s">
        <v>14</v>
      </c>
      <c r="B13" s="14">
        <f>B3-B12</f>
        <v>380</v>
      </c>
      <c r="C13" s="1"/>
      <c r="D13" s="20" t="s">
        <v>26</v>
      </c>
      <c r="E13" s="20"/>
      <c r="F13" s="20"/>
    </row>
    <row r="14" spans="1:6" x14ac:dyDescent="0.3">
      <c r="A14" s="20" t="s">
        <v>15</v>
      </c>
      <c r="B14" s="16">
        <f>IF(B13&gt;5000,2.5%,IF(B13&gt;2000,3%,IF(B13&gt;530,3.5%,4%)))</f>
        <v>0.04</v>
      </c>
      <c r="C14" s="17"/>
      <c r="D14" s="21" t="s">
        <v>27</v>
      </c>
      <c r="E14" s="22">
        <f>B14/30.4167</f>
        <v>1.315067051981313E-3</v>
      </c>
    </row>
    <row r="15" spans="1:6" x14ac:dyDescent="0.3">
      <c r="A15" s="20" t="s">
        <v>25</v>
      </c>
      <c r="B15" s="16">
        <f>B14*B6</f>
        <v>0.28000000000000003</v>
      </c>
      <c r="C15" s="17"/>
      <c r="D15" s="13" t="s">
        <v>28</v>
      </c>
      <c r="E15" s="9">
        <f>B14/4.345</f>
        <v>9.2059838895281933E-3</v>
      </c>
    </row>
    <row r="16" spans="1:6" x14ac:dyDescent="0.3">
      <c r="A16" s="18" t="s">
        <v>16</v>
      </c>
      <c r="B16" s="19">
        <f>B15*B13</f>
        <v>106.4</v>
      </c>
      <c r="C16" s="17"/>
    </row>
    <row r="17" spans="1:3" x14ac:dyDescent="0.3">
      <c r="A17" s="20" t="s">
        <v>17</v>
      </c>
      <c r="B17" s="19">
        <f>B16+B13</f>
        <v>486.4</v>
      </c>
      <c r="C17" s="17"/>
    </row>
    <row r="18" spans="1:3" x14ac:dyDescent="0.3">
      <c r="A18" s="20" t="s">
        <v>18</v>
      </c>
      <c r="B18" s="19">
        <f>B17/B6</f>
        <v>69.48571428571428</v>
      </c>
      <c r="C18" s="17"/>
    </row>
    <row r="19" spans="1:3" x14ac:dyDescent="0.3">
      <c r="A19" s="10"/>
      <c r="B19" s="4"/>
      <c r="C19" s="3"/>
    </row>
    <row r="20" spans="1:3" x14ac:dyDescent="0.3">
      <c r="A20" s="10"/>
    </row>
    <row r="21" spans="1:3" x14ac:dyDescent="0.3">
      <c r="A21" s="10"/>
    </row>
    <row r="22" spans="1:3" x14ac:dyDescent="0.3">
      <c r="A22" s="10"/>
    </row>
    <row r="23" spans="1:3" x14ac:dyDescent="0.3">
      <c r="A23" s="20" t="s">
        <v>19</v>
      </c>
      <c r="B23" s="1"/>
    </row>
    <row r="24" spans="1:3" ht="43.2" x14ac:dyDescent="0.3">
      <c r="A24" s="2" t="s">
        <v>20</v>
      </c>
      <c r="B24" s="1" t="str">
        <f>IF(B12&lt;B9,"Initial Deposit Insufficient","Please Proceed")</f>
        <v>Please Proceed</v>
      </c>
    </row>
  </sheetData>
  <mergeCells count="2">
    <mergeCell ref="D2:F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Osei Frimpong Kwabena</dc:creator>
  <cp:lastModifiedBy>Harold Osei Frimpong Kwabena</cp:lastModifiedBy>
  <dcterms:created xsi:type="dcterms:W3CDTF">2026-01-24T11:12:44Z</dcterms:created>
  <dcterms:modified xsi:type="dcterms:W3CDTF">2026-02-02T13:08:46Z</dcterms:modified>
</cp:coreProperties>
</file>